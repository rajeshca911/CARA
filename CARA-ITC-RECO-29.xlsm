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2F3E71BD-6353-443D-855C-99EB1BAAEB9C}" xr6:coauthVersionLast="47" xr6:coauthVersionMax="47" xr10:uidLastSave="{00000000-0000-0000-0000-000000000000}"/>
  <workbookProtection workbookAlgorithmName="SHA-512" workbookHashValue="zAMeYKKgBlZEUML49bXzrsSFh3BZa9qv8upvJiG+zoCYQ3gxhjoL/an7hPM4BgLdP9pimWAqA06GoDTDOInlvA==" workbookSaltValue="lC2Fnpo9/pyIAn3s6OIQfg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15" l="1"/>
  <c r="D19" i="15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/sharedStrings.xml><?xml version="1.0" encoding="utf-8"?>
<sst xmlns="http://schemas.openxmlformats.org/spreadsheetml/2006/main" count="150" uniqueCount="81">
  <si>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</si>
  <si>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</si>
  <si>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</si>
  <si>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</si>
  <si>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</si>
  <si>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</si>
  <si>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</si>
  <si>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</si>
  <si>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</si>
  <si>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</si>
  <si>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</si>
  <si>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</si>
  <si>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</si>
  <si>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</si>
  <si>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</si>
  <si>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</si>
  <si>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</si>
  <si>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</si>
  <si>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</si>
  <si>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</si>
  <si>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</si>
  <si>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</si>
  <si>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</si>
  <si>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</si>
  <si>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</si>
  <si>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</si>
  <si>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</si>
  <si>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</si>
  <si>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</si>
  <si>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</si>
  <si>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</si>
  <si>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</si>
  <si>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</si>
  <si>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</si>
  <si>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</si>
  <si>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</si>
  <si>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</si>
  <si>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</si>
  <si>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</si>
  <si>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</si>
  <si>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</si>
  <si>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</si>
  <si>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</si>
  <si>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</si>
  <si>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</si>
  <si>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</si>
  <si>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</si>
  <si>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</si>
  <si>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</si>
  <si>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</si>
  <si>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</si>
  <si>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</si>
  <si>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</si>
  <si>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</si>
  <si>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</si>
  <si>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</si>
  <si>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</si>
  <si>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</si>
  <si>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</si>
  <si>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</si>
  <si>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</si>
  <si>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</si>
  <si>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</si>
  <si>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</si>
  <si>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</si>
  <si>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</si>
  <si>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</si>
  <si>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</si>
  <si>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</si>
  <si>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</si>
  <si>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</si>
  <si>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</si>
  <si>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</si>
  <si>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</si>
  <si>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</si>
  <si>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</si>
  <si>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</si>
  <si>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</si>
  <si>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</si>
  <si>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Entries Present In Portal_2A But Not In Portal_2B</t>
  </si>
  <si>
    <t>You May Export Any Sheet At Anypoint Of Time By Pressing Export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</si>
</sst>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left"/>
    </xf>
    <xf numFmtId="4" fontId="1" fillId="2" borderId="2" xfId="0" applyNumberFormat="1" applyFont="1" applyFill="1" applyBorder="1" applyAlignment="1" applyProtection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 applyProtection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Fill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 applyProtection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 applyProtection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1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14" xfId="0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 applyProtection="1">
      <alignment horizontal="center" vertical="center"/>
    </xf>
    <xf numFmtId="0" fontId="13" fillId="3" borderId="16" xfId="0" applyFont="1" applyFill="1" applyBorder="1" applyAlignment="1" applyProtection="1">
      <alignment horizontal="center" vertical="center"/>
    </xf>
    <xf numFmtId="14" fontId="12" fillId="12" borderId="9" xfId="0" applyNumberFormat="1" applyFont="1" applyFill="1" applyBorder="1" applyAlignment="1" applyProtection="1">
      <alignment horizontal="left" vertical="center"/>
    </xf>
    <xf numFmtId="14" fontId="12" fillId="12" borderId="10" xfId="0" applyNumberFormat="1" applyFont="1" applyFill="1" applyBorder="1" applyAlignment="1" applyProtection="1">
      <alignment horizontal="left" vertical="center"/>
    </xf>
    <xf numFmtId="14" fontId="12" fillId="12" borderId="11" xfId="0" applyNumberFormat="1" applyFont="1" applyFill="1" applyBorder="1" applyAlignment="1" applyProtection="1">
      <alignment horizontal="left" vertical="center"/>
    </xf>
    <xf numFmtId="14" fontId="12" fillId="12" borderId="12" xfId="0" applyNumberFormat="1" applyFont="1" applyFill="1" applyBorder="1" applyAlignment="1" applyProtection="1">
      <alignment horizontal="left" vertical="center"/>
    </xf>
    <xf numFmtId="14" fontId="12" fillId="12" borderId="0" xfId="0" applyNumberFormat="1" applyFont="1" applyFill="1" applyBorder="1" applyAlignment="1" applyProtection="1">
      <alignment horizontal="left" vertical="center"/>
    </xf>
    <xf numFmtId="14" fontId="12" fillId="12" borderId="13" xfId="0" applyNumberFormat="1" applyFont="1" applyFill="1" applyBorder="1" applyAlignment="1" applyProtection="1">
      <alignment horizontal="left" vertical="center"/>
    </xf>
    <xf numFmtId="14" fontId="12" fillId="12" borderId="14" xfId="0" applyNumberFormat="1" applyFont="1" applyFill="1" applyBorder="1" applyAlignment="1" applyProtection="1">
      <alignment horizontal="left" vertical="center"/>
    </xf>
    <xf numFmtId="14" fontId="12" fillId="12" borderId="15" xfId="0" applyNumberFormat="1" applyFont="1" applyFill="1" applyBorder="1" applyAlignment="1" applyProtection="1">
      <alignment horizontal="left" vertical="center"/>
    </xf>
    <xf numFmtId="14" fontId="12" fillId="12" borderId="16" xfId="0" applyNumberFormat="1" applyFont="1" applyFill="1" applyBorder="1" applyAlignment="1" applyProtection="1">
      <alignment horizontal="left" vertical="center"/>
    </xf>
    <xf numFmtId="0" fontId="10" fillId="3" borderId="0" xfId="0" applyFont="1" applyFill="1" applyAlignment="1" applyProtection="1">
      <alignment horizontal="center" vertical="center"/>
    </xf>
    <xf numFmtId="14" fontId="11" fillId="4" borderId="0" xfId="0" applyNumberFormat="1" applyFont="1" applyFill="1" applyAlignment="1" applyProtection="1">
      <alignment horizontal="center" vertical="center"/>
    </xf>
    <xf numFmtId="14" fontId="11" fillId="4" borderId="15" xfId="0" applyNumberFormat="1" applyFont="1" applyFill="1" applyBorder="1" applyAlignment="1" applyProtection="1">
      <alignment horizontal="center" vertical="center"/>
    </xf>
    <xf numFmtId="0" fontId="51" fillId="0" borderId="9" xfId="0" applyFont="1" applyFill="1" applyBorder="1" applyAlignment="1">
      <alignment horizontal="center" vertical="center"/>
    </xf>
    <xf numFmtId="0" fontId="56" fillId="0" borderId="10" xfId="0" applyFont="1" applyFill="1" applyBorder="1" applyAlignment="1">
      <alignment horizontal="center" vertical="center"/>
    </xf>
    <xf numFmtId="0" fontId="56" fillId="0" borderId="11" xfId="0" applyFont="1" applyFill="1" applyBorder="1" applyAlignment="1">
      <alignment horizontal="center" vertical="center"/>
    </xf>
    <xf numFmtId="0" fontId="56" fillId="0" borderId="14" xfId="0" applyFont="1" applyFill="1" applyBorder="1" applyAlignment="1">
      <alignment horizontal="center" vertical="center"/>
    </xf>
    <xf numFmtId="0" fontId="56" fillId="0" borderId="15" xfId="0" applyFont="1" applyFill="1" applyBorder="1" applyAlignment="1">
      <alignment horizontal="center" vertical="center"/>
    </xf>
    <xf numFmtId="0" fontId="56" fillId="0" borderId="16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macrolix.com/enable-macros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21907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2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o1100111100000000010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o00000110000110101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D17" sqref="D1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39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83" t="s">
        <v>59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</row>
    <row r="3" spans="2:16"/>
    <row r="4" spans="2:16" ht="9" customHeight="1">
      <c r="B4" s="49"/>
      <c r="C4" s="50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</row>
    <row r="5" spans="2:16" s="40" customFormat="1" ht="17.25">
      <c r="B5" s="51" t="s">
        <v>25</v>
      </c>
      <c r="C5" s="52"/>
      <c r="D5" s="52"/>
      <c r="E5" s="52"/>
      <c r="F5" s="52"/>
      <c r="G5" s="53" t="s">
        <v>26</v>
      </c>
      <c r="H5" s="52"/>
      <c r="I5" s="52"/>
      <c r="J5" s="52"/>
      <c r="K5" s="52"/>
      <c r="L5" s="52"/>
      <c r="M5" s="52"/>
      <c r="N5" s="52"/>
      <c r="O5" s="52"/>
      <c r="P5" s="52"/>
    </row>
    <row r="6" spans="2:16" s="40" customFormat="1" ht="19.5">
      <c r="B6" s="54" t="s">
        <v>27</v>
      </c>
      <c r="C6" s="55"/>
      <c r="D6" s="52"/>
      <c r="E6" s="52"/>
      <c r="F6" s="52"/>
      <c r="G6" s="53" t="s">
        <v>28</v>
      </c>
      <c r="H6" s="52"/>
      <c r="I6" s="52"/>
      <c r="J6" s="52"/>
      <c r="K6" s="52"/>
      <c r="L6" s="52"/>
      <c r="M6" s="52"/>
      <c r="N6" s="52"/>
      <c r="O6" s="52"/>
      <c r="P6" s="52"/>
    </row>
    <row r="7" spans="2:16" ht="9" customHeight="1">
      <c r="B7" s="56"/>
      <c r="C7" s="50"/>
      <c r="D7" s="49"/>
      <c r="E7" s="49"/>
      <c r="F7" s="49"/>
      <c r="G7" s="57"/>
      <c r="H7" s="49"/>
      <c r="I7" s="49"/>
      <c r="J7" s="49"/>
      <c r="K7" s="49"/>
      <c r="L7" s="49"/>
      <c r="M7" s="49"/>
      <c r="N7" s="49"/>
      <c r="O7" s="49"/>
      <c r="P7" s="49"/>
    </row>
    <row r="8" spans="2:16" ht="22.5" customHeight="1"/>
    <row r="9" spans="2:16" s="41" customFormat="1" ht="22.5" customHeight="1">
      <c r="B9" s="85" t="s">
        <v>29</v>
      </c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</row>
    <row r="10" spans="2:16">
      <c r="B10" s="42"/>
      <c r="C10" s="43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s="47" customFormat="1" ht="18.75" customHeight="1">
      <c r="B11" s="44"/>
      <c r="C11" s="45" t="s">
        <v>30</v>
      </c>
      <c r="D11" s="46" t="s">
        <v>48</v>
      </c>
      <c r="E11" s="44"/>
      <c r="F11" s="44"/>
      <c r="G11" s="44"/>
      <c r="H11" s="44"/>
      <c r="I11" s="86"/>
      <c r="J11" s="86"/>
      <c r="K11" s="86"/>
      <c r="L11" s="86"/>
      <c r="M11" s="86"/>
      <c r="N11" s="86"/>
      <c r="O11" s="44"/>
      <c r="P11" s="44"/>
    </row>
    <row r="12" spans="2:16" s="47" customFormat="1" ht="18.75" customHeight="1">
      <c r="B12" s="44"/>
      <c r="C12" s="45" t="s">
        <v>31</v>
      </c>
      <c r="D12" s="46" t="s">
        <v>72</v>
      </c>
      <c r="E12" s="44"/>
      <c r="F12" s="44"/>
      <c r="G12" s="44"/>
      <c r="H12" s="44"/>
      <c r="I12" s="75"/>
      <c r="J12" s="75"/>
      <c r="K12" s="75"/>
      <c r="L12" s="75"/>
      <c r="M12" s="75"/>
      <c r="N12" s="75"/>
      <c r="O12" s="44"/>
      <c r="P12" s="44"/>
    </row>
    <row r="13" spans="2:16" s="47" customFormat="1" ht="18.75" customHeight="1">
      <c r="B13" s="44"/>
      <c r="C13" s="45" t="s">
        <v>32</v>
      </c>
      <c r="D13" s="46" t="s">
        <v>49</v>
      </c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</row>
    <row r="14" spans="2:16" s="47" customFormat="1" ht="18.75" customHeight="1">
      <c r="B14" s="44"/>
      <c r="C14" s="45" t="s">
        <v>33</v>
      </c>
      <c r="D14" s="46" t="s">
        <v>50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</row>
    <row r="15" spans="2:16" s="47" customFormat="1" ht="18.75" customHeight="1">
      <c r="B15" s="44"/>
      <c r="C15" s="45" t="s">
        <v>34</v>
      </c>
      <c r="D15" s="46" t="s">
        <v>51</v>
      </c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</row>
    <row r="16" spans="2:16" s="47" customFormat="1" ht="18.75" customHeight="1">
      <c r="B16" s="44"/>
      <c r="C16" s="45" t="s">
        <v>35</v>
      </c>
      <c r="D16" s="46" t="s">
        <v>80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</row>
    <row r="17" spans="2:16" s="47" customFormat="1" ht="18.75" customHeight="1">
      <c r="B17" s="44"/>
      <c r="C17" s="45" t="s">
        <v>36</v>
      </c>
      <c r="D17" s="46" t="s">
        <v>52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</row>
    <row r="18" spans="2:16" s="47" customFormat="1" ht="18.75" customHeight="1">
      <c r="B18" s="44"/>
      <c r="C18" s="45" t="s">
        <v>37</v>
      </c>
      <c r="D18" s="46" t="s">
        <v>53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</row>
    <row r="19" spans="2:16" s="47" customFormat="1" ht="18.75" customHeight="1">
      <c r="B19" s="44"/>
      <c r="C19" s="45" t="s">
        <v>39</v>
      </c>
      <c r="D19" s="46" t="str">
        <f>PROPER("yellow color tabs are user input sheets and blue color sheets are for reports")</f>
        <v>Yellow Color Tabs Are User Input Sheets And Blue Color Sheets Are For Reports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2:16" s="47" customFormat="1" ht="18.75" customHeight="1">
      <c r="B20" s="44"/>
      <c r="C20" s="45" t="s">
        <v>40</v>
      </c>
      <c r="D20" s="48" t="s">
        <v>54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</row>
    <row r="21" spans="2:16" s="47" customFormat="1" ht="18.75" customHeight="1">
      <c r="B21" s="44"/>
      <c r="C21" s="45" t="s">
        <v>41</v>
      </c>
      <c r="D21" s="46" t="s">
        <v>55</v>
      </c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</row>
    <row r="22" spans="2:16" s="47" customFormat="1" ht="18.75" customHeight="1">
      <c r="B22" s="44"/>
      <c r="C22" s="45" t="s">
        <v>42</v>
      </c>
      <c r="D22" s="46" t="s">
        <v>56</v>
      </c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</row>
    <row r="23" spans="2:16" s="47" customFormat="1" ht="18.75" customHeight="1">
      <c r="B23" s="44"/>
      <c r="C23" s="45" t="s">
        <v>73</v>
      </c>
      <c r="D23" s="46" t="s">
        <v>57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</row>
    <row r="24" spans="2:16" s="47" customFormat="1" ht="18.75" customHeight="1">
      <c r="B24" s="44"/>
      <c r="C24" s="45" t="s">
        <v>74</v>
      </c>
      <c r="D24" s="46" t="str">
        <f>PROPER("you can manually download the utility if you have difficulty downloading or upgrading")</f>
        <v>You Can Manually Download The Utility If You Have Difficulty Downloading Or Upgrading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</row>
    <row r="25" spans="2:16">
      <c r="B25" s="42"/>
      <c r="C25" s="43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2:16"/>
    <row r="27" spans="2:16" ht="16.5">
      <c r="B27" s="87" t="s">
        <v>38</v>
      </c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</row>
    <row r="28" spans="2:16"/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PukaQCfXeHaSOcxjWtgyDXWPXB5qPIoP9CLBZI7IPlQJjTm8U3JkY8M5Ci5eS6q/njtbKRDPryYUx17jrS5eGQ==" saltValue="gO8+mD0Dqo+ywcizZaX2v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5" bestFit="1" customWidth="1"/>
    <col min="2" max="2" width="19.140625" style="5" bestFit="1" customWidth="1"/>
    <col min="3" max="3" width="54.5703125" style="5" bestFit="1" customWidth="1"/>
    <col min="4" max="4" width="17.28515625" style="5" customWidth="1"/>
    <col min="5" max="5" width="14.42578125" style="5" bestFit="1" customWidth="1"/>
    <col min="6" max="6" width="18.42578125" style="5" bestFit="1" customWidth="1"/>
    <col min="7" max="7" width="15.140625" style="5" bestFit="1" customWidth="1"/>
    <col min="8" max="8" width="11.85546875" style="5" customWidth="1"/>
    <col min="9" max="9" width="10.7109375" style="5" customWidth="1"/>
    <col min="10" max="11" width="11" style="5" customWidth="1"/>
    <col min="12" max="12" width="8.140625" style="5" bestFit="1" customWidth="1"/>
    <col min="13" max="16384" width="28.42578125" style="1" hidden="1"/>
  </cols>
  <sheetData>
    <row r="1" spans="1:27" ht="15" customHeight="1">
      <c r="A1" s="88" t="s">
        <v>78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78" t="s">
        <v>5</v>
      </c>
      <c r="B7" s="22" t="s">
        <v>0</v>
      </c>
      <c r="C7" s="22" t="s">
        <v>6</v>
      </c>
      <c r="D7" s="22" t="s">
        <v>7</v>
      </c>
      <c r="E7" s="23" t="s">
        <v>8</v>
      </c>
      <c r="F7" s="24" t="s">
        <v>10</v>
      </c>
      <c r="G7" s="25" t="s">
        <v>9</v>
      </c>
      <c r="H7" s="25" t="s">
        <v>1</v>
      </c>
      <c r="I7" s="26" t="s">
        <v>2</v>
      </c>
      <c r="J7" s="25" t="s">
        <v>3</v>
      </c>
      <c r="K7" s="20" t="s">
        <v>4</v>
      </c>
      <c r="L7" s="25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NMtLYjDl2wWZyPGt5lP5WAQ/IRAGMk7zb7jWhcZSLuIxuoVD9xqXU3D68D4ceYveoRq+e+C0+mbxohXxcRTUPQ==" saltValue="wgUa6sMkwp7EsqbdQX/ROg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79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10" customWidth="1"/>
    <col min="6" max="6" width="11.140625" style="10" customWidth="1"/>
    <col min="7" max="7" width="16.42578125" style="10" customWidth="1"/>
    <col min="8" max="10" width="14" style="10" customWidth="1"/>
    <col min="11" max="11" width="11.42578125" style="10" customWidth="1"/>
    <col min="12" max="12" width="9" style="11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89" t="s">
        <v>21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1"/>
    </row>
    <row r="2" spans="1:12" ht="7.5" customHeight="1" thickBot="1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4"/>
    </row>
    <row r="3" spans="1:12" ht="15.75" hidden="1" thickBot="1">
      <c r="A3" s="95"/>
      <c r="B3" s="96"/>
      <c r="C3" s="96"/>
      <c r="D3" s="96"/>
      <c r="E3" s="96"/>
      <c r="F3" s="96"/>
      <c r="G3" s="96"/>
      <c r="H3" s="96"/>
      <c r="I3" s="96"/>
      <c r="J3" s="96"/>
      <c r="K3" s="96"/>
      <c r="L3" s="97"/>
    </row>
    <row r="4" spans="1:12">
      <c r="A4" s="98" t="s">
        <v>22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100"/>
    </row>
    <row r="5" spans="1:12" ht="1.5" customHeight="1" thickBot="1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3"/>
    </row>
    <row r="6" spans="1:12" ht="15.75" hidden="1" customHeight="1" thickBot="1">
      <c r="A6" s="10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6"/>
    </row>
    <row r="7" spans="1:12" ht="15.75" thickBot="1">
      <c r="A7" s="78" t="s">
        <v>5</v>
      </c>
      <c r="B7" s="22" t="s">
        <v>0</v>
      </c>
      <c r="C7" s="22" t="s">
        <v>6</v>
      </c>
      <c r="D7" s="22" t="s">
        <v>7</v>
      </c>
      <c r="E7" s="23" t="s">
        <v>8</v>
      </c>
      <c r="F7" s="24" t="s">
        <v>10</v>
      </c>
      <c r="G7" s="25" t="s">
        <v>9</v>
      </c>
      <c r="H7" s="25" t="s">
        <v>1</v>
      </c>
      <c r="I7" s="26" t="s">
        <v>2</v>
      </c>
      <c r="J7" s="25" t="s">
        <v>3</v>
      </c>
      <c r="K7" s="20" t="s">
        <v>4</v>
      </c>
      <c r="L7" s="25" t="s">
        <v>23</v>
      </c>
    </row>
  </sheetData>
  <sheetProtection algorithmName="SHA-512" hashValue="SkT75jYzZ/cYeFTUFMGG1emXGxxnC+faJg3lESOSc+s82JEC8djhSy5QwVRrL5YQYY9/yfA+SJQidWf7hCQEIw==" saltValue="XyWTJfVkWlKYl0Jp7vDO0g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10" customWidth="1"/>
    <col min="6" max="6" width="11.28515625" style="12" bestFit="1" customWidth="1"/>
    <col min="7" max="11" width="17.7109375" style="10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107" t="s">
        <v>20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3"/>
    </row>
    <row r="2" spans="1:12" ht="5.25" customHeight="1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3"/>
    </row>
    <row r="3" spans="1:12" ht="0.75" hidden="1" customHeight="1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3"/>
    </row>
    <row r="4" spans="1:12">
      <c r="A4" s="108" t="s">
        <v>19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</row>
    <row r="5" spans="1:12" ht="6" customHeight="1" thickBot="1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</row>
    <row r="6" spans="1:12" ht="15.75" hidden="1" thickBot="1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</row>
    <row r="7" spans="1:12" ht="15.75" thickBot="1">
      <c r="A7" s="18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</row>
  </sheetData>
  <sheetProtection algorithmName="SHA-512" hashValue="frjICIQP5LFncWto34i6FM1RdGZjL82AiYmuFLZ4Zge5lr8p8FmqgMoZ2B7+22/zCXztXqt06YOk2dKQigaYGA==" saltValue="w+QeFmbDo/4aMdQqXX0do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80" bestFit="1" customWidth="1"/>
    <col min="2" max="2" width="18.28515625" style="6" bestFit="1" customWidth="1"/>
    <col min="3" max="3" width="47.42578125" style="6" bestFit="1" customWidth="1"/>
    <col min="4" max="4" width="17.42578125" style="6" bestFit="1" customWidth="1"/>
    <col min="5" max="5" width="14.42578125" style="7" bestFit="1" customWidth="1"/>
    <col min="6" max="6" width="10.42578125" style="8" bestFit="1" customWidth="1"/>
    <col min="7" max="7" width="16" style="9" bestFit="1" customWidth="1"/>
    <col min="8" max="11" width="10.42578125" style="9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10" t="s">
        <v>66</v>
      </c>
      <c r="B1" s="111"/>
      <c r="C1" s="111"/>
      <c r="D1" s="111"/>
      <c r="E1" s="111"/>
      <c r="F1" s="111"/>
      <c r="G1" s="111"/>
      <c r="H1" s="111"/>
      <c r="I1" s="111"/>
      <c r="J1" s="111"/>
      <c r="K1" s="112"/>
    </row>
    <row r="2" spans="1:11" ht="9.75" customHeight="1" thickBot="1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5"/>
    </row>
    <row r="3" spans="1:11">
      <c r="A3" s="116" t="s">
        <v>79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</row>
    <row r="4" spans="1:11" ht="5.25" customHeight="1" thickBot="1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</row>
    <row r="5" spans="1:11" ht="15.75" hidden="1" thickBot="1">
      <c r="A5" s="81"/>
      <c r="B5" s="13"/>
      <c r="C5" s="14"/>
      <c r="D5" s="13"/>
      <c r="E5" s="15"/>
      <c r="F5" s="16"/>
      <c r="G5" s="17"/>
      <c r="H5" s="17"/>
      <c r="I5" s="17"/>
      <c r="J5" s="17"/>
      <c r="K5" s="17"/>
    </row>
    <row r="6" spans="1:11" ht="15.75" hidden="1" thickBot="1">
      <c r="A6" s="81"/>
      <c r="B6" s="13"/>
      <c r="C6" s="14"/>
      <c r="D6" s="13"/>
      <c r="E6" s="15"/>
      <c r="F6" s="16"/>
      <c r="G6" s="17"/>
      <c r="H6" s="17"/>
      <c r="I6" s="17"/>
      <c r="J6" s="17"/>
      <c r="K6" s="17"/>
    </row>
    <row r="7" spans="1:11" ht="15.75" thickBot="1">
      <c r="A7" s="82" t="s">
        <v>5</v>
      </c>
      <c r="B7" s="19" t="s">
        <v>0</v>
      </c>
      <c r="C7" s="19" t="s">
        <v>6</v>
      </c>
      <c r="D7" s="19" t="s">
        <v>12</v>
      </c>
      <c r="E7" s="27" t="s">
        <v>11</v>
      </c>
      <c r="F7" s="28" t="s">
        <v>13</v>
      </c>
      <c r="G7" s="29" t="s">
        <v>9</v>
      </c>
      <c r="H7" s="29" t="s">
        <v>1</v>
      </c>
      <c r="I7" s="29" t="s">
        <v>2</v>
      </c>
      <c r="J7" s="29" t="s">
        <v>3</v>
      </c>
      <c r="K7" s="29" t="s">
        <v>4</v>
      </c>
    </row>
  </sheetData>
  <sheetProtection algorithmName="SHA-512" hashValue="eWDRkDqQf4dV7sBqk4u4uORyGYjPqHAT2NL7wxi2Lr9hsk7aaCJNtZjj4lqnwU4FbJhJelQFRuBk4pIubx3c2A==" saltValue="8KYf8JJw8RvzQN20NJdgM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5" customWidth="1"/>
    <col min="2" max="2" width="30" style="5" customWidth="1"/>
    <col min="3" max="3" width="49.28515625" style="5" customWidth="1"/>
    <col min="4" max="4" width="11.7109375" style="5" customWidth="1"/>
    <col min="5" max="6" width="17.28515625" style="5" customWidth="1"/>
    <col min="7" max="7" width="11.7109375" style="5" customWidth="1"/>
    <col min="8" max="9" width="16.85546875" style="5" customWidth="1"/>
    <col min="10" max="10" width="11.7109375" style="5" customWidth="1"/>
    <col min="11" max="12" width="17.28515625" style="5" customWidth="1"/>
    <col min="13" max="13" width="8.85546875" style="5" hidden="1" customWidth="1"/>
    <col min="14" max="16384" width="8.85546875" style="5" hidden="1"/>
  </cols>
  <sheetData>
    <row r="1" spans="1:12" s="118" customFormat="1" ht="26.25" customHeight="1">
      <c r="A1" s="117" t="s">
        <v>60</v>
      </c>
    </row>
    <row r="2" spans="1:12" s="119" customFormat="1" ht="24" customHeight="1">
      <c r="A2" s="118"/>
      <c r="B2" s="118"/>
      <c r="C2" s="118"/>
    </row>
    <row r="3" spans="1:12" s="30" customFormat="1" ht="16.5">
      <c r="A3" s="120" t="s">
        <v>14</v>
      </c>
      <c r="B3" s="120" t="s">
        <v>0</v>
      </c>
      <c r="C3" s="120" t="s">
        <v>24</v>
      </c>
      <c r="D3" s="122" t="s">
        <v>68</v>
      </c>
      <c r="E3" s="123"/>
      <c r="F3" s="123"/>
      <c r="G3" s="124" t="s">
        <v>69</v>
      </c>
      <c r="H3" s="124"/>
      <c r="I3" s="124"/>
      <c r="J3" s="125" t="s">
        <v>43</v>
      </c>
      <c r="K3" s="126"/>
      <c r="L3" s="126"/>
    </row>
    <row r="4" spans="1:12" s="30" customFormat="1" ht="17.25" thickBot="1">
      <c r="A4" s="121"/>
      <c r="B4" s="121"/>
      <c r="C4" s="121"/>
      <c r="D4" s="33" t="s">
        <v>17</v>
      </c>
      <c r="E4" s="34" t="s">
        <v>15</v>
      </c>
      <c r="F4" s="34" t="s">
        <v>16</v>
      </c>
      <c r="G4" s="35" t="s">
        <v>18</v>
      </c>
      <c r="H4" s="35" t="s">
        <v>15</v>
      </c>
      <c r="I4" s="35" t="s">
        <v>16</v>
      </c>
      <c r="J4" s="58" t="s">
        <v>18</v>
      </c>
      <c r="K4" s="59" t="s">
        <v>15</v>
      </c>
      <c r="L4" s="59" t="s">
        <v>16</v>
      </c>
    </row>
    <row r="5" spans="1:12" hidden="1">
      <c r="A5" s="31"/>
      <c r="B5" s="4"/>
      <c r="C5" s="31"/>
      <c r="D5" s="32"/>
      <c r="E5" s="32"/>
      <c r="F5" s="32"/>
      <c r="G5" s="32"/>
      <c r="H5" s="32"/>
      <c r="I5" s="32"/>
      <c r="J5" s="32"/>
      <c r="K5" s="32"/>
      <c r="L5" s="32"/>
    </row>
    <row r="6" spans="1:12" hidden="1">
      <c r="A6" s="31"/>
      <c r="B6" s="4"/>
      <c r="C6" s="31"/>
      <c r="D6" s="32"/>
      <c r="E6" s="32"/>
      <c r="F6" s="32"/>
      <c r="G6" s="32"/>
      <c r="H6" s="32"/>
      <c r="I6" s="32"/>
      <c r="J6" s="32"/>
      <c r="K6" s="32"/>
      <c r="L6" s="32"/>
    </row>
    <row r="7" spans="1:12" ht="15" hidden="1" customHeight="1">
      <c r="A7" s="37" t="s">
        <v>47</v>
      </c>
      <c r="B7" s="37" t="s">
        <v>0</v>
      </c>
      <c r="C7" s="37" t="s">
        <v>6</v>
      </c>
      <c r="D7" s="63" t="s">
        <v>17</v>
      </c>
      <c r="E7" s="63" t="s">
        <v>15</v>
      </c>
      <c r="F7" s="63" t="s">
        <v>16</v>
      </c>
      <c r="G7" s="38" t="s">
        <v>18</v>
      </c>
      <c r="H7" s="38" t="s">
        <v>15</v>
      </c>
      <c r="I7" s="38" t="s">
        <v>16</v>
      </c>
      <c r="J7" s="64" t="s">
        <v>18</v>
      </c>
      <c r="K7" s="64" t="s">
        <v>15</v>
      </c>
      <c r="L7" s="64" t="s">
        <v>16</v>
      </c>
    </row>
  </sheetData>
  <sheetProtection algorithmName="SHA-512" hashValue="9FJ0tNdeTl+gvaG4uFIzHq6BChjTSF0unylymH2ET8LgATGCa6dMnXaOQwhQDFBqyV6Z4nTPycDuMyi4Vlae3Q==" saltValue="H+ejFiFsBqgJ1KdWF8mzLA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6" bestFit="1" customWidth="1"/>
    <col min="2" max="2" width="18.140625" style="4" bestFit="1" customWidth="1"/>
    <col min="3" max="3" width="19.85546875" style="31" bestFit="1" customWidth="1"/>
    <col min="4" max="4" width="15.5703125" style="5" bestFit="1" customWidth="1"/>
    <col min="5" max="5" width="15" style="5" customWidth="1"/>
    <col min="6" max="6" width="15.7109375" style="5" customWidth="1"/>
    <col min="7" max="10" width="15" style="5" customWidth="1"/>
    <col min="11" max="11" width="13" style="5" customWidth="1"/>
    <col min="12" max="12" width="17.42578125" style="5" customWidth="1"/>
    <col min="13" max="17" width="13" style="5" customWidth="1"/>
    <col min="18" max="18" width="14.42578125" style="5" customWidth="1"/>
    <col min="19" max="22" width="13" style="5" customWidth="1"/>
    <col min="23" max="16384" width="13" style="5" hidden="1"/>
  </cols>
  <sheetData>
    <row r="1" spans="1:22" s="67" customFormat="1" ht="26.25" customHeight="1">
      <c r="A1" s="117" t="s">
        <v>61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</row>
    <row r="2" spans="1:22" s="68" customFormat="1" ht="24" customHeight="1" thickBot="1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</row>
    <row r="3" spans="1:22" s="69" customFormat="1" ht="16.5" customHeight="1">
      <c r="A3" s="144" t="s">
        <v>64</v>
      </c>
      <c r="B3" s="145"/>
      <c r="C3" s="145"/>
      <c r="D3" s="146"/>
      <c r="E3" s="135" t="s">
        <v>70</v>
      </c>
      <c r="F3" s="136"/>
      <c r="G3" s="136"/>
      <c r="H3" s="136"/>
      <c r="I3" s="136"/>
      <c r="J3" s="137"/>
      <c r="K3" s="138" t="s">
        <v>71</v>
      </c>
      <c r="L3" s="139"/>
      <c r="M3" s="139"/>
      <c r="N3" s="139"/>
      <c r="O3" s="139"/>
      <c r="P3" s="140"/>
      <c r="Q3" s="141" t="s">
        <v>65</v>
      </c>
      <c r="R3" s="142"/>
      <c r="S3" s="142"/>
      <c r="T3" s="142"/>
      <c r="U3" s="142"/>
      <c r="V3" s="143"/>
    </row>
    <row r="4" spans="1:22" s="70" customFormat="1" ht="14.25">
      <c r="A4" s="132" t="s">
        <v>62</v>
      </c>
      <c r="B4" s="133" t="s">
        <v>0</v>
      </c>
      <c r="C4" s="133" t="s">
        <v>24</v>
      </c>
      <c r="D4" s="133" t="s">
        <v>63</v>
      </c>
      <c r="E4" s="134" t="s">
        <v>75</v>
      </c>
      <c r="F4" s="131" t="s">
        <v>76</v>
      </c>
      <c r="G4" s="131" t="s">
        <v>1</v>
      </c>
      <c r="H4" s="131" t="s">
        <v>2</v>
      </c>
      <c r="I4" s="131" t="s">
        <v>3</v>
      </c>
      <c r="J4" s="131" t="s">
        <v>4</v>
      </c>
      <c r="K4" s="130" t="s">
        <v>77</v>
      </c>
      <c r="L4" s="128" t="s">
        <v>76</v>
      </c>
      <c r="M4" s="128" t="s">
        <v>1</v>
      </c>
      <c r="N4" s="128" t="s">
        <v>2</v>
      </c>
      <c r="O4" s="128" t="s">
        <v>3</v>
      </c>
      <c r="P4" s="128" t="s">
        <v>4</v>
      </c>
      <c r="Q4" s="129" t="s">
        <v>77</v>
      </c>
      <c r="R4" s="127" t="s">
        <v>76</v>
      </c>
      <c r="S4" s="127" t="s">
        <v>1</v>
      </c>
      <c r="T4" s="127" t="s">
        <v>2</v>
      </c>
      <c r="U4" s="127" t="s">
        <v>3</v>
      </c>
      <c r="V4" s="127" t="s">
        <v>4</v>
      </c>
    </row>
    <row r="5" spans="1:22" ht="14.25" customHeight="1">
      <c r="A5" s="132"/>
      <c r="B5" s="133"/>
      <c r="C5" s="133"/>
      <c r="D5" s="133"/>
      <c r="E5" s="134"/>
      <c r="F5" s="131"/>
      <c r="G5" s="131"/>
      <c r="H5" s="131"/>
      <c r="I5" s="131"/>
      <c r="J5" s="131"/>
      <c r="K5" s="130"/>
      <c r="L5" s="128"/>
      <c r="M5" s="128"/>
      <c r="N5" s="128"/>
      <c r="O5" s="128"/>
      <c r="P5" s="128"/>
      <c r="Q5" s="129"/>
      <c r="R5" s="127"/>
      <c r="S5" s="127"/>
      <c r="T5" s="127"/>
      <c r="U5" s="127"/>
      <c r="V5" s="127"/>
    </row>
    <row r="6" spans="1:22" hidden="1"/>
    <row r="7" spans="1:22" ht="28.5" hidden="1">
      <c r="A7" s="77" t="str">
        <f>A4</f>
        <v>Date</v>
      </c>
      <c r="B7" s="71" t="str">
        <f t="shared" ref="B7:V7" si="0">B4</f>
        <v>GSTIN</v>
      </c>
      <c r="C7" s="71" t="str">
        <f t="shared" si="0"/>
        <v>Trade Name</v>
      </c>
      <c r="D7" s="71" t="str">
        <f t="shared" si="0"/>
        <v>Invoice Number</v>
      </c>
      <c r="E7" s="74" t="str">
        <f t="shared" si="0"/>
        <v>Invoice Value</v>
      </c>
      <c r="F7" s="74" t="str">
        <f t="shared" si="0"/>
        <v xml:space="preserve">TAXABLE VALUE </v>
      </c>
      <c r="G7" s="74" t="str">
        <f t="shared" si="0"/>
        <v>IGST</v>
      </c>
      <c r="H7" s="74" t="str">
        <f t="shared" si="0"/>
        <v>CGST</v>
      </c>
      <c r="I7" s="74" t="str">
        <f t="shared" si="0"/>
        <v>SGST</v>
      </c>
      <c r="J7" s="74" t="str">
        <f t="shared" si="0"/>
        <v>CESS</v>
      </c>
      <c r="K7" s="72" t="str">
        <f t="shared" si="0"/>
        <v>InvoiceValue</v>
      </c>
      <c r="L7" s="72" t="str">
        <f t="shared" si="0"/>
        <v xml:space="preserve">TAXABLE VALUE </v>
      </c>
      <c r="M7" s="72" t="str">
        <f t="shared" si="0"/>
        <v>IGST</v>
      </c>
      <c r="N7" s="72" t="str">
        <f t="shared" si="0"/>
        <v>CGST</v>
      </c>
      <c r="O7" s="72" t="str">
        <f t="shared" si="0"/>
        <v>SGST</v>
      </c>
      <c r="P7" s="72" t="str">
        <f t="shared" si="0"/>
        <v>CESS</v>
      </c>
      <c r="Q7" s="73" t="str">
        <f t="shared" si="0"/>
        <v>InvoiceValue</v>
      </c>
      <c r="R7" s="73" t="str">
        <f t="shared" si="0"/>
        <v xml:space="preserve">TAXABLE VALUE </v>
      </c>
      <c r="S7" s="73" t="str">
        <f t="shared" si="0"/>
        <v>IGST</v>
      </c>
      <c r="T7" s="73" t="str">
        <f t="shared" si="0"/>
        <v>CGST</v>
      </c>
      <c r="U7" s="73" t="str">
        <f t="shared" si="0"/>
        <v>SGST</v>
      </c>
      <c r="V7" s="73" t="str">
        <f t="shared" si="0"/>
        <v>CESS</v>
      </c>
    </row>
  </sheetData>
  <sheetProtection algorithmName="SHA-512" hashValue="+patpxb8gOaGrRs95lvRkvXsCMk5KW4xoCxQYcRwxNSv4oYbPIZPyMHi5opE4qJhTAf99oa8/KUFNF/sHO6sWQ==" saltValue="eszMtPIctlePXgZGPHtr8Q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5" customWidth="1"/>
    <col min="2" max="2" width="64.42578125" style="66" customWidth="1"/>
    <col min="3" max="6" width="20" style="66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47" customFormat="1" ht="15">
      <c r="A1" s="147" t="s">
        <v>44</v>
      </c>
    </row>
    <row r="2" spans="1:7" s="147" customFormat="1" ht="15"/>
    <row r="3" spans="1:7" ht="15" hidden="1">
      <c r="A3" s="2"/>
      <c r="B3" s="36"/>
      <c r="C3" s="36"/>
      <c r="D3" s="36"/>
      <c r="E3" s="36"/>
      <c r="F3" s="36"/>
    </row>
    <row r="4" spans="1:7" ht="15" hidden="1">
      <c r="A4" s="2"/>
      <c r="B4" s="36"/>
      <c r="C4" s="36"/>
      <c r="D4" s="36"/>
      <c r="E4" s="36"/>
      <c r="F4" s="36"/>
    </row>
    <row r="5" spans="1:7" ht="15" customHeight="1">
      <c r="A5" s="150" t="s">
        <v>67</v>
      </c>
      <c r="B5" s="148" t="s">
        <v>58</v>
      </c>
      <c r="C5" s="148"/>
      <c r="D5" s="148"/>
      <c r="E5" s="148"/>
      <c r="F5" s="60"/>
      <c r="G5" s="60"/>
    </row>
    <row r="6" spans="1:7" ht="6" customHeight="1">
      <c r="A6" s="151"/>
      <c r="B6" s="149"/>
      <c r="C6" s="149"/>
      <c r="D6" s="149"/>
      <c r="E6" s="149"/>
      <c r="F6" s="60"/>
      <c r="G6" s="60"/>
    </row>
    <row r="7" spans="1:7" ht="15">
      <c r="A7" s="61" t="s">
        <v>45</v>
      </c>
      <c r="B7" s="62" t="s">
        <v>46</v>
      </c>
      <c r="C7" s="62" t="s">
        <v>1</v>
      </c>
      <c r="D7" s="62" t="s">
        <v>2</v>
      </c>
      <c r="E7" s="62" t="s">
        <v>3</v>
      </c>
      <c r="F7" s="62" t="s">
        <v>4</v>
      </c>
    </row>
  </sheetData>
  <sheetProtection algorithmName="SHA-512" hashValue="YQRAFB9AEAVBm64b7ms7Bf6Xa5OGnPkPJFHOpABRkg14iWZ1FoTKH/nyEAmEAxS98NtuIOGPdhH2Lshod+U15Q==" saltValue="KklalCyMhioZ/Z3vVCiUbw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2022-08-22T04:35:08Z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